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luis/Desktop/ObraFlow-AI/"/>
    </mc:Choice>
  </mc:AlternateContent>
  <xr:revisionPtr revIDLastSave="0" documentId="8_{FB3F8437-BCE5-1841-9297-C71AAE6268AC}" xr6:coauthVersionLast="47" xr6:coauthVersionMax="47" xr10:uidLastSave="{00000000-0000-0000-0000-000000000000}"/>
  <bookViews>
    <workbookView xWindow="1100" yWindow="820" windowWidth="28040" windowHeight="17440" activeTab="3" xr2:uid="{DD4A36FC-636B-FA40-8B5A-B8BE165800BA}"/>
  </bookViews>
  <sheets>
    <sheet name="Avance" sheetId="2" r:id="rId1"/>
    <sheet name="PLAN_DE_OBRA" sheetId="1" r:id="rId2"/>
    <sheet name="AVANCE_PLANIFICADO" sheetId="3" r:id="rId3"/>
    <sheet name="AVANCE_EJECUTADO" sheetId="4" r:id="rId4"/>
  </sheets>
  <calcPr calcId="181029"/>
  <pivotCaches>
    <pivotCache cacheId="6" r:id="rId5"/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</calcChain>
</file>

<file path=xl/sharedStrings.xml><?xml version="1.0" encoding="utf-8"?>
<sst xmlns="http://schemas.openxmlformats.org/spreadsheetml/2006/main" count="142" uniqueCount="45">
  <si>
    <t>ID Partida</t>
  </si>
  <si>
    <t>Nombre Partida</t>
  </si>
  <si>
    <t>Zona</t>
  </si>
  <si>
    <t>Descripción</t>
  </si>
  <si>
    <t>Fecha Inicio Planificada</t>
  </si>
  <si>
    <t>Fecha Término Planificada</t>
  </si>
  <si>
    <t>Responsable</t>
  </si>
  <si>
    <t>% Avance Planificado Inicial</t>
  </si>
  <si>
    <t>% Avance Ejecutado Inicial</t>
  </si>
  <si>
    <t>Estado</t>
  </si>
  <si>
    <t>Cimentación</t>
  </si>
  <si>
    <t>Subterráneo</t>
  </si>
  <si>
    <t>Excavación y hormigonado de fundaciones.</t>
  </si>
  <si>
    <t>Juan Pérez</t>
  </si>
  <si>
    <t>Pendiente</t>
  </si>
  <si>
    <t>Estructura Metálica</t>
  </si>
  <si>
    <t>Primer Piso</t>
  </si>
  <si>
    <t>Montaje de estructura de acero.</t>
  </si>
  <si>
    <t>Ana Díaz</t>
  </si>
  <si>
    <t>Instalaciones Sanitarias</t>
  </si>
  <si>
    <t>Segundo Piso</t>
  </si>
  <si>
    <t>Instalación de redes de agua potable y desagüe.</t>
  </si>
  <si>
    <t>Carlos Gómez</t>
  </si>
  <si>
    <t>Instalaciones Eléctricas</t>
  </si>
  <si>
    <t>Instalación de cableado eléctrico y tableros.</t>
  </si>
  <si>
    <t>Fernanda Soto</t>
  </si>
  <si>
    <t>Terminaciones de Muros</t>
  </si>
  <si>
    <t>Todos los Pisos</t>
  </si>
  <si>
    <t>Aplicación de estuco y pintura de muros interiores.</t>
  </si>
  <si>
    <t>Luis Ramírez</t>
  </si>
  <si>
    <t>Total general</t>
  </si>
  <si>
    <t>Suma de % Avance Ejecutado Inicial</t>
  </si>
  <si>
    <t>Dias_trabajo</t>
  </si>
  <si>
    <t>% Avance Ejecutado</t>
  </si>
  <si>
    <t>% Avance Planificado</t>
  </si>
  <si>
    <t>Dias Trabajo</t>
  </si>
  <si>
    <t>% Avance Planificado Diario</t>
  </si>
  <si>
    <t>Fecha</t>
  </si>
  <si>
    <t>…</t>
  </si>
  <si>
    <t>ID Reporte</t>
  </si>
  <si>
    <t>% Avance Ejecutado Diario</t>
  </si>
  <si>
    <t>Responsable que reporta</t>
  </si>
  <si>
    <t>Observaciones (opcional)</t>
  </si>
  <si>
    <t>Inicio lento por ajuste de nivelación</t>
  </si>
  <si>
    <t>Se recuperó 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</si>
</sst>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3" fillId="0" borderId="0" xfId="0" applyFont="1"/>
    <xf numFmtId="14" fontId="0" fillId="0" borderId="0" xfId="0" applyNumberFormat="1"/>
    <xf numFmtId="14" fontId="3" fillId="0" borderId="0" xfId="0" applyNumberFormat="1" applyFont="1"/>
    <xf numFmtId="0" fontId="0" fillId="0" borderId="0" xfId="0" pivotButton="1"/>
    <xf numFmtId="0" fontId="2" fillId="0" borderId="0" xfId="0" applyFont="1"/>
    <xf numFmtId="0" fontId="0" fillId="0" borderId="0" xfId="0" applyNumberFormat="1"/>
    <xf numFmtId="1" fontId="0" fillId="0" borderId="0" xfId="0" applyNumberFormat="1"/>
    <xf numFmtId="9" fontId="3" fillId="0" borderId="0" xfId="1" applyFont="1"/>
    <xf numFmtId="9" fontId="0" fillId="0" borderId="0" xfId="1" applyFont="1"/>
    <xf numFmtId="9" fontId="0" fillId="0" borderId="0" xfId="0" applyNumberFormat="1"/>
    <xf numFmtId="1" fontId="2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caino" refreshedDate="45774.617433101848" createdVersion="8" refreshedVersion="8" minRefreshableVersion="3" recordCount="5" xr:uid="{8ADDAAF5-742B-E444-A362-37B87737C893}">
  <cacheSource type="worksheet">
    <worksheetSource ref="A1:J6" sheet="PLAN_DE_OBRA"/>
  </cacheSource>
  <cacheFields count="14">
    <cacheField name="ID Partida" numFmtId="0">
      <sharedItems containsSemiMixedTypes="0" containsString="0" containsNumber="1" containsInteger="1" minValue="1" maxValue="5"/>
    </cacheField>
    <cacheField name="Nombre Partida" numFmtId="0">
      <sharedItems count="5">
        <s v="Cimentación"/>
        <s v="Estructura Metálica"/>
        <s v="Instalaciones Sanitarias"/>
        <s v="Instalaciones Eléctricas"/>
        <s v="Terminaciones de Muros"/>
      </sharedItems>
    </cacheField>
    <cacheField name="Zona" numFmtId="0">
      <sharedItems count="4">
        <s v="Subterráneo"/>
        <s v="Primer Piso"/>
        <s v="Segundo Piso"/>
        <s v="Todos los Pisos"/>
      </sharedItems>
    </cacheField>
    <cacheField name="Descripción" numFmtId="0">
      <sharedItems/>
    </cacheField>
    <cacheField name="Fecha Inicio Planificada" numFmtId="14">
      <sharedItems containsSemiMixedTypes="0" containsNonDate="0" containsDate="1" containsString="0" minDate="2025-05-01T00:00:00" maxDate="2025-06-02T00:00:00" count="5">
        <d v="2025-05-01T00:00:00"/>
        <d v="2025-05-10T00:00:00"/>
        <d v="2025-05-15T00:00:00"/>
        <d v="2025-05-20T00:00:00"/>
        <d v="2025-06-01T00:00:00"/>
      </sharedItems>
      <fieldGroup par="11"/>
    </cacheField>
    <cacheField name="Fecha Término Planificada" numFmtId="14">
      <sharedItems containsSemiMixedTypes="0" containsNonDate="0" containsDate="1" containsString="0" minDate="2025-05-09T00:00:00" maxDate="2025-06-21T00:00:00" count="5">
        <d v="2025-05-09T00:00:00"/>
        <d v="2025-05-20T00:00:00"/>
        <d v="2025-05-25T00:00:00"/>
        <d v="2025-06-05T00:00:00"/>
        <d v="2025-06-20T00:00:00"/>
      </sharedItems>
      <fieldGroup par="13"/>
    </cacheField>
    <cacheField name="Responsable" numFmtId="0">
      <sharedItems/>
    </cacheField>
    <cacheField name="% Avance Planificado Inicial" numFmtId="0">
      <sharedItems containsSemiMixedTypes="0" containsString="0" containsNumber="1" containsInteger="1" minValue="0" maxValue="0"/>
    </cacheField>
    <cacheField name="% Avance Ejecutado Inicial" numFmtId="0">
      <sharedItems containsSemiMixedTypes="0" containsString="0" containsNumber="1" containsInteger="1" minValue="0" maxValue="0"/>
    </cacheField>
    <cacheField name="Estado" numFmtId="0">
      <sharedItems/>
    </cacheField>
    <cacheField name="Días (Fecha Inicio Planificada)" numFmtId="0" databaseField="0">
      <fieldGroup base="4">
        <rangePr groupBy="days" startDate="2025-05-01T00:00:00" endDate="2025-06-02T00:00:00"/>
        <groupItems count="368">
          <s v="&lt;01-05-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06-25"/>
        </groupItems>
      </fieldGroup>
    </cacheField>
    <cacheField name="Meses (Fecha Inicio Planificada)" numFmtId="0" databaseField="0">
      <fieldGroup base="4">
        <rangePr groupBy="months" startDate="2025-05-01T00:00:00" endDate="2025-06-02T00:00:00"/>
        <groupItems count="14">
          <s v="&lt;01-05-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06-25"/>
        </groupItems>
      </fieldGroup>
    </cacheField>
    <cacheField name="Días (Fecha Término Planificada)" numFmtId="0" databaseField="0">
      <fieldGroup base="5">
        <rangePr groupBy="days" startDate="2025-05-09T00:00:00" endDate="2025-06-21T00:00:00"/>
        <groupItems count="368">
          <s v="&lt;09-05-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1-06-25"/>
        </groupItems>
      </fieldGroup>
    </cacheField>
    <cacheField name="Meses (Fecha Término Planificada)" numFmtId="0" databaseField="0">
      <fieldGroup base="5">
        <rangePr groupBy="months" startDate="2025-05-09T00:00:00" endDate="2025-06-21T00:00:00"/>
        <groupItems count="14">
          <s v="&lt;09-05-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1-06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caino" refreshedDate="45774.622473495372" createdVersion="8" refreshedVersion="8" minRefreshableVersion="3" recordCount="5" xr:uid="{96DEE90F-E2C3-0F44-BA47-21F8A6FEBE68}">
  <cacheSource type="worksheet">
    <worksheetSource ref="A1:K6" sheet="PLAN_DE_OBRA"/>
  </cacheSource>
  <cacheFields count="15">
    <cacheField name="ID Partida" numFmtId="0">
      <sharedItems containsSemiMixedTypes="0" containsString="0" containsNumber="1" containsInteger="1" minValue="1" maxValue="5"/>
    </cacheField>
    <cacheField name="Nombre Partida" numFmtId="0">
      <sharedItems count="5">
        <s v="Cimentación"/>
        <s v="Estructura Metálica"/>
        <s v="Instalaciones Sanitarias"/>
        <s v="Instalaciones Eléctricas"/>
        <s v="Terminaciones de Muros"/>
      </sharedItems>
    </cacheField>
    <cacheField name="Zona" numFmtId="0">
      <sharedItems count="4">
        <s v="Subterráneo"/>
        <s v="Primer Piso"/>
        <s v="Segundo Piso"/>
        <s v="Todos los Pisos"/>
      </sharedItems>
    </cacheField>
    <cacheField name="Descripción" numFmtId="0">
      <sharedItems/>
    </cacheField>
    <cacheField name="Fecha Inicio Planificada" numFmtId="14">
      <sharedItems containsSemiMixedTypes="0" containsNonDate="0" containsDate="1" containsString="0" minDate="2025-05-01T00:00:00" maxDate="2025-06-02T00:00:00" count="5">
        <d v="2025-05-01T00:00:00"/>
        <d v="2025-05-10T00:00:00"/>
        <d v="2025-05-15T00:00:00"/>
        <d v="2025-05-20T00:00:00"/>
        <d v="2025-06-01T00:00:00"/>
      </sharedItems>
      <fieldGroup par="12"/>
    </cacheField>
    <cacheField name="Fecha Término Planificada" numFmtId="14">
      <sharedItems containsSemiMixedTypes="0" containsNonDate="0" containsDate="1" containsString="0" minDate="2025-05-09T00:00:00" maxDate="2025-06-21T00:00:00" count="5">
        <d v="2025-05-09T00:00:00"/>
        <d v="2025-05-20T00:00:00"/>
        <d v="2025-05-25T00:00:00"/>
        <d v="2025-06-05T00:00:00"/>
        <d v="2025-06-20T00:00:00"/>
      </sharedItems>
      <fieldGroup par="14"/>
    </cacheField>
    <cacheField name="Responsable" numFmtId="0">
      <sharedItems/>
    </cacheField>
    <cacheField name="% Avance Planificado Inicial" numFmtId="0">
      <sharedItems containsSemiMixedTypes="0" containsString="0" containsNumber="1" containsInteger="1" minValue="0" maxValue="0"/>
    </cacheField>
    <cacheField name="% Avance Ejecutado Inicial" numFmtId="0">
      <sharedItems containsSemiMixedTypes="0" containsString="0" containsNumber="1" containsInteger="1" minValue="0" maxValue="0"/>
    </cacheField>
    <cacheField name="Estado" numFmtId="0">
      <sharedItems/>
    </cacheField>
    <cacheField name="Dias_trabajo" numFmtId="1">
      <sharedItems containsSemiMixedTypes="0" containsString="0" containsNumber="1" containsInteger="1" minValue="8" maxValue="19"/>
    </cacheField>
    <cacheField name="Días (Fecha Inicio Planificada)" numFmtId="0" databaseField="0">
      <fieldGroup base="4">
        <rangePr groupBy="days" startDate="2025-05-01T00:00:00" endDate="2025-06-02T00:00:00"/>
        <groupItems count="368">
          <s v="&lt;01-05-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06-25"/>
        </groupItems>
      </fieldGroup>
    </cacheField>
    <cacheField name="Meses (Fecha Inicio Planificada)" numFmtId="0" databaseField="0">
      <fieldGroup base="4">
        <rangePr groupBy="months" startDate="2025-05-01T00:00:00" endDate="2025-06-02T00:00:00"/>
        <groupItems count="14">
          <s v="&lt;01-05-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06-25"/>
        </groupItems>
      </fieldGroup>
    </cacheField>
    <cacheField name="Días (Fecha Término Planificada)" numFmtId="0" databaseField="0">
      <fieldGroup base="5">
        <rangePr groupBy="days" startDate="2025-05-09T00:00:00" endDate="2025-06-21T00:00:00"/>
        <groupItems count="368">
          <s v="&lt;09-05-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1-06-25"/>
        </groupItems>
      </fieldGroup>
    </cacheField>
    <cacheField name="Meses (Fecha Término Planificada)" numFmtId="0" databaseField="0">
      <fieldGroup base="5">
        <rangePr groupBy="months" startDate="2025-05-09T00:00:00" endDate="2025-06-21T00:00:00"/>
        <groupItems count="14">
          <s v="&lt;09-05-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1-06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x v="0"/>
    <s v="Excavación y hormigonado de fundaciones."/>
    <x v="0"/>
    <x v="0"/>
    <s v="Juan Pérez"/>
    <n v="0"/>
    <n v="0"/>
    <s v="Pendiente"/>
  </r>
  <r>
    <n v="2"/>
    <x v="1"/>
    <x v="1"/>
    <s v="Montaje de estructura de acero."/>
    <x v="1"/>
    <x v="1"/>
    <s v="Ana Díaz"/>
    <n v="0"/>
    <n v="0"/>
    <s v="Pendiente"/>
  </r>
  <r>
    <n v="3"/>
    <x v="2"/>
    <x v="2"/>
    <s v="Instalación de redes de agua potable y desagüe."/>
    <x v="2"/>
    <x v="2"/>
    <s v="Carlos Gómez"/>
    <n v="0"/>
    <n v="0"/>
    <s v="Pendiente"/>
  </r>
  <r>
    <n v="4"/>
    <x v="3"/>
    <x v="2"/>
    <s v="Instalación de cableado eléctrico y tableros."/>
    <x v="3"/>
    <x v="3"/>
    <s v="Fernanda Soto"/>
    <n v="0"/>
    <n v="0"/>
    <s v="Pendiente"/>
  </r>
  <r>
    <n v="5"/>
    <x v="4"/>
    <x v="3"/>
    <s v="Aplicación de estuco y pintura de muros interiores."/>
    <x v="4"/>
    <x v="4"/>
    <s v="Luis Ramírez"/>
    <n v="0"/>
    <n v="0"/>
    <s v="Pendien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x v="0"/>
    <s v="Excavación y hormigonado de fundaciones."/>
    <x v="0"/>
    <x v="0"/>
    <s v="Juan Pérez"/>
    <n v="0"/>
    <n v="0"/>
    <s v="Pendiente"/>
    <n v="8"/>
  </r>
  <r>
    <n v="2"/>
    <x v="1"/>
    <x v="1"/>
    <s v="Montaje de estructura de acero."/>
    <x v="1"/>
    <x v="1"/>
    <s v="Ana Díaz"/>
    <n v="0"/>
    <n v="0"/>
    <s v="Pendiente"/>
    <n v="10"/>
  </r>
  <r>
    <n v="3"/>
    <x v="2"/>
    <x v="2"/>
    <s v="Instalación de redes de agua potable y desagüe."/>
    <x v="2"/>
    <x v="2"/>
    <s v="Carlos Gómez"/>
    <n v="0"/>
    <n v="0"/>
    <s v="Pendiente"/>
    <n v="10"/>
  </r>
  <r>
    <n v="4"/>
    <x v="3"/>
    <x v="2"/>
    <s v="Instalación de cableado eléctrico y tableros."/>
    <x v="3"/>
    <x v="3"/>
    <s v="Fernanda Soto"/>
    <n v="0"/>
    <n v="0"/>
    <s v="Pendiente"/>
    <n v="16"/>
  </r>
  <r>
    <n v="5"/>
    <x v="4"/>
    <x v="3"/>
    <s v="Aplicación de estuco y pintura de muros interiores."/>
    <x v="4"/>
    <x v="4"/>
    <s v="Luis Ramírez"/>
    <n v="0"/>
    <n v="0"/>
    <s v="Pendiente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90C2B-EB91-7C45-8622-1C6CC94B038E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13:H19" firstHeaderRow="0" firstDataRow="1" firstDataCol="4"/>
  <pivotFields count="15">
    <pivotField compact="0" outline="0" showAll="0" defaultSubtotal="0"/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axis="axisRow" compact="0" numFmtId="14" outline="0" showAll="0" defaultSubtotal="0">
      <items count="5">
        <item x="0"/>
        <item x="1"/>
        <item x="2"/>
        <item x="3"/>
        <item x="4"/>
      </items>
    </pivotField>
    <pivotField axis="axisRow" compact="0" numFmtId="14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dataField="1" compact="0" numFmtId="1" outline="0" subtotalTop="0" showAll="0" defaultSubtotal="0"/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2"/>
    <field x="1"/>
    <field x="4"/>
    <field x="5"/>
  </rowFields>
  <rowItems count="6">
    <i>
      <x/>
      <x/>
      <x/>
      <x/>
    </i>
    <i>
      <x v="1"/>
      <x v="1"/>
      <x v="1"/>
      <x v="1"/>
    </i>
    <i>
      <x v="2"/>
      <x v="2"/>
      <x v="2"/>
      <x v="2"/>
    </i>
    <i r="1">
      <x v="3"/>
      <x v="3"/>
      <x v="3"/>
    </i>
    <i>
      <x v="3"/>
      <x v="4"/>
      <x v="4"/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ias Trabajo" fld="10" baseField="0" baseItem="0" numFmtId="1"/>
    <dataField name="% Avance Planificado" fld="7" baseField="0" baseItem="0"/>
    <dataField name="% Avance Ejecutado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FF759-922D-954F-AA4C-314D3B094A6D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3:I10" firstHeaderRow="1" firstDataRow="2" firstDataCol="2"/>
  <pivotFields count="14"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/>
    <pivotField compact="0" numFmtId="14" outline="0" showAll="0">
      <items count="6">
        <item x="0"/>
        <item x="1"/>
        <item x="2"/>
        <item x="3"/>
        <item x="4"/>
        <item t="default"/>
      </items>
    </pivotField>
    <pivotField axis="axisCol" compact="0" numFmtId="14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1"/>
  </rowFields>
  <rowItems count="6">
    <i>
      <x/>
      <x/>
    </i>
    <i>
      <x v="1"/>
      <x v="1"/>
    </i>
    <i>
      <x v="2"/>
      <x v="2"/>
    </i>
    <i r="1">
      <x v="3"/>
    </i>
    <i>
      <x v="3"/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% Avance Ejecutado Inici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8FFD-2D10-8841-A998-1023B14D19C2}">
  <dimension ref="B3:I19"/>
  <sheetViews>
    <sheetView workbookViewId="0">
      <selection activeCell="F14" sqref="F14"/>
    </sheetView>
  </sheetViews>
  <sheetFormatPr baseColWidth="10" defaultRowHeight="16" x14ac:dyDescent="0.2"/>
  <cols>
    <col min="1" max="1" width="3.83203125" customWidth="1"/>
    <col min="2" max="2" width="30.6640625" bestFit="1" customWidth="1"/>
    <col min="3" max="3" width="25.83203125" customWidth="1"/>
    <col min="4" max="5" width="25.83203125" bestFit="1" customWidth="1"/>
    <col min="6" max="6" width="12" bestFit="1" customWidth="1"/>
    <col min="7" max="7" width="18.83203125" bestFit="1" customWidth="1"/>
    <col min="8" max="8" width="17.6640625" bestFit="1" customWidth="1"/>
    <col min="9" max="9" width="11.6640625" bestFit="1" customWidth="1"/>
    <col min="10" max="10" width="10.1640625" bestFit="1" customWidth="1"/>
    <col min="11" max="11" width="12.83203125" bestFit="1" customWidth="1"/>
    <col min="12" max="12" width="10.1640625" bestFit="1" customWidth="1"/>
    <col min="13" max="13" width="12.83203125" bestFit="1" customWidth="1"/>
    <col min="14" max="14" width="11.6640625" bestFit="1" customWidth="1"/>
  </cols>
  <sheetData>
    <row r="3" spans="2:9" x14ac:dyDescent="0.2">
      <c r="B3" s="5" t="s">
        <v>31</v>
      </c>
      <c r="D3" s="5" t="s">
        <v>5</v>
      </c>
    </row>
    <row r="4" spans="2:9" x14ac:dyDescent="0.2">
      <c r="B4" s="5" t="s">
        <v>2</v>
      </c>
      <c r="C4" s="5" t="s">
        <v>1</v>
      </c>
      <c r="D4" s="3">
        <v>45786</v>
      </c>
      <c r="E4" s="3">
        <v>45797</v>
      </c>
      <c r="F4" s="3">
        <v>45802</v>
      </c>
      <c r="G4" s="3">
        <v>45813</v>
      </c>
      <c r="H4" s="3">
        <v>45828</v>
      </c>
      <c r="I4" s="3" t="s">
        <v>30</v>
      </c>
    </row>
    <row r="5" spans="2:9" x14ac:dyDescent="0.2">
      <c r="B5" t="s">
        <v>11</v>
      </c>
      <c r="C5" t="s">
        <v>10</v>
      </c>
      <c r="D5" s="7">
        <v>0</v>
      </c>
      <c r="E5" s="7"/>
      <c r="F5" s="7"/>
      <c r="G5" s="7"/>
      <c r="H5" s="7"/>
      <c r="I5" s="7">
        <v>0</v>
      </c>
    </row>
    <row r="6" spans="2:9" x14ac:dyDescent="0.2">
      <c r="B6" t="s">
        <v>16</v>
      </c>
      <c r="C6" t="s">
        <v>15</v>
      </c>
      <c r="D6" s="7"/>
      <c r="E6" s="7">
        <v>0</v>
      </c>
      <c r="F6" s="7"/>
      <c r="G6" s="7"/>
      <c r="H6" s="7"/>
      <c r="I6" s="7">
        <v>0</v>
      </c>
    </row>
    <row r="7" spans="2:9" x14ac:dyDescent="0.2">
      <c r="B7" t="s">
        <v>20</v>
      </c>
      <c r="C7" t="s">
        <v>19</v>
      </c>
      <c r="D7" s="7"/>
      <c r="E7" s="7"/>
      <c r="F7" s="7">
        <v>0</v>
      </c>
      <c r="G7" s="7"/>
      <c r="H7" s="7"/>
      <c r="I7" s="7">
        <v>0</v>
      </c>
    </row>
    <row r="8" spans="2:9" x14ac:dyDescent="0.2">
      <c r="C8" t="s">
        <v>23</v>
      </c>
      <c r="D8" s="7"/>
      <c r="E8" s="7"/>
      <c r="F8" s="7"/>
      <c r="G8" s="7">
        <v>0</v>
      </c>
      <c r="H8" s="7"/>
      <c r="I8" s="7">
        <v>0</v>
      </c>
    </row>
    <row r="9" spans="2:9" x14ac:dyDescent="0.2">
      <c r="B9" t="s">
        <v>27</v>
      </c>
      <c r="C9" t="s">
        <v>26</v>
      </c>
      <c r="D9" s="7"/>
      <c r="E9" s="7"/>
      <c r="F9" s="7"/>
      <c r="G9" s="7"/>
      <c r="H9" s="7">
        <v>0</v>
      </c>
      <c r="I9" s="7">
        <v>0</v>
      </c>
    </row>
    <row r="10" spans="2:9" x14ac:dyDescent="0.2">
      <c r="B10" t="s">
        <v>30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</row>
    <row r="13" spans="2:9" x14ac:dyDescent="0.2">
      <c r="B13" s="5" t="s">
        <v>2</v>
      </c>
      <c r="C13" s="5" t="s">
        <v>1</v>
      </c>
      <c r="D13" s="5" t="s">
        <v>4</v>
      </c>
      <c r="E13" s="5" t="s">
        <v>5</v>
      </c>
      <c r="F13" t="s">
        <v>35</v>
      </c>
      <c r="G13" t="s">
        <v>34</v>
      </c>
      <c r="H13" t="s">
        <v>33</v>
      </c>
    </row>
    <row r="14" spans="2:9" x14ac:dyDescent="0.2">
      <c r="B14" t="s">
        <v>11</v>
      </c>
      <c r="C14" t="s">
        <v>10</v>
      </c>
      <c r="D14" s="3">
        <v>45778</v>
      </c>
      <c r="E14" s="3">
        <v>45786</v>
      </c>
      <c r="F14" s="8">
        <v>8</v>
      </c>
      <c r="G14" s="7">
        <v>0</v>
      </c>
      <c r="H14" s="7">
        <v>0</v>
      </c>
    </row>
    <row r="15" spans="2:9" x14ac:dyDescent="0.2">
      <c r="B15" t="s">
        <v>16</v>
      </c>
      <c r="C15" t="s">
        <v>15</v>
      </c>
      <c r="D15" s="3">
        <v>45787</v>
      </c>
      <c r="E15" s="3">
        <v>45797</v>
      </c>
      <c r="F15" s="8">
        <v>10</v>
      </c>
      <c r="G15" s="7">
        <v>0</v>
      </c>
      <c r="H15" s="7">
        <v>0</v>
      </c>
    </row>
    <row r="16" spans="2:9" x14ac:dyDescent="0.2">
      <c r="B16" t="s">
        <v>20</v>
      </c>
      <c r="C16" t="s">
        <v>19</v>
      </c>
      <c r="D16" s="3">
        <v>45792</v>
      </c>
      <c r="E16" s="3">
        <v>45802</v>
      </c>
      <c r="F16" s="8">
        <v>10</v>
      </c>
      <c r="G16" s="7">
        <v>0</v>
      </c>
      <c r="H16" s="7">
        <v>0</v>
      </c>
    </row>
    <row r="17" spans="2:8" x14ac:dyDescent="0.2">
      <c r="C17" t="s">
        <v>23</v>
      </c>
      <c r="D17" s="3">
        <v>45797</v>
      </c>
      <c r="E17" s="3">
        <v>45813</v>
      </c>
      <c r="F17" s="8">
        <v>16</v>
      </c>
      <c r="G17" s="7">
        <v>0</v>
      </c>
      <c r="H17" s="7">
        <v>0</v>
      </c>
    </row>
    <row r="18" spans="2:8" x14ac:dyDescent="0.2">
      <c r="B18" t="s">
        <v>27</v>
      </c>
      <c r="C18" t="s">
        <v>26</v>
      </c>
      <c r="D18" s="3">
        <v>45809</v>
      </c>
      <c r="E18" s="3">
        <v>45828</v>
      </c>
      <c r="F18" s="8">
        <v>19</v>
      </c>
      <c r="G18" s="7">
        <v>0</v>
      </c>
      <c r="H18" s="7">
        <v>0</v>
      </c>
    </row>
    <row r="19" spans="2:8" x14ac:dyDescent="0.2">
      <c r="B19" t="s">
        <v>30</v>
      </c>
      <c r="F19" s="8">
        <v>63</v>
      </c>
      <c r="G19" s="7">
        <v>0</v>
      </c>
      <c r="H19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1F7D-D4EC-7440-8523-29A937631F9B}">
  <dimension ref="A1:K6"/>
  <sheetViews>
    <sheetView workbookViewId="0">
      <selection sqref="A1:K6"/>
    </sheetView>
  </sheetViews>
  <sheetFormatPr baseColWidth="10" defaultRowHeight="16" x14ac:dyDescent="0.2"/>
  <cols>
    <col min="1" max="1" width="9.33203125" bestFit="1" customWidth="1"/>
    <col min="2" max="2" width="19.83203125" bestFit="1" customWidth="1"/>
    <col min="3" max="3" width="13.1640625" bestFit="1" customWidth="1"/>
    <col min="4" max="4" width="39.83203125" bestFit="1" customWidth="1"/>
    <col min="5" max="5" width="21" bestFit="1" customWidth="1"/>
    <col min="6" max="6" width="22.6640625" bestFit="1" customWidth="1"/>
    <col min="7" max="7" width="12.1640625" bestFit="1" customWidth="1"/>
    <col min="8" max="8" width="24.83203125" bestFit="1" customWidth="1"/>
    <col min="9" max="9" width="23.83203125" bestFit="1" customWidth="1"/>
    <col min="10" max="10" width="8.5" bestFit="1" customWidth="1"/>
    <col min="11" max="11" width="12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</v>
      </c>
    </row>
    <row r="2" spans="1:11" x14ac:dyDescent="0.2">
      <c r="A2" s="1">
        <v>1</v>
      </c>
      <c r="B2" s="2" t="s">
        <v>10</v>
      </c>
      <c r="C2" s="2" t="s">
        <v>11</v>
      </c>
      <c r="D2" s="2" t="s">
        <v>12</v>
      </c>
      <c r="E2" s="4">
        <v>45778</v>
      </c>
      <c r="F2" s="4">
        <v>45786</v>
      </c>
      <c r="G2" s="2" t="s">
        <v>13</v>
      </c>
      <c r="H2" s="2">
        <v>0</v>
      </c>
      <c r="I2" s="2">
        <v>0</v>
      </c>
      <c r="J2" s="2" t="s">
        <v>14</v>
      </c>
      <c r="K2" s="8">
        <f>+F2-E2</f>
        <v>8</v>
      </c>
    </row>
    <row r="3" spans="1:11" x14ac:dyDescent="0.2">
      <c r="A3" s="1">
        <v>2</v>
      </c>
      <c r="B3" s="2" t="s">
        <v>15</v>
      </c>
      <c r="C3" s="2" t="s">
        <v>16</v>
      </c>
      <c r="D3" s="2" t="s">
        <v>17</v>
      </c>
      <c r="E3" s="4">
        <v>45787</v>
      </c>
      <c r="F3" s="4">
        <v>45797</v>
      </c>
      <c r="G3" s="2" t="s">
        <v>18</v>
      </c>
      <c r="H3" s="2">
        <v>0</v>
      </c>
      <c r="I3" s="2">
        <v>0</v>
      </c>
      <c r="J3" s="2" t="s">
        <v>14</v>
      </c>
      <c r="K3" s="8">
        <f t="shared" ref="K3:K6" si="0">+F3-E3</f>
        <v>10</v>
      </c>
    </row>
    <row r="4" spans="1:11" x14ac:dyDescent="0.2">
      <c r="A4" s="1">
        <v>3</v>
      </c>
      <c r="B4" s="2" t="s">
        <v>19</v>
      </c>
      <c r="C4" s="2" t="s">
        <v>20</v>
      </c>
      <c r="D4" s="2" t="s">
        <v>21</v>
      </c>
      <c r="E4" s="4">
        <v>45792</v>
      </c>
      <c r="F4" s="4">
        <v>45802</v>
      </c>
      <c r="G4" s="2" t="s">
        <v>22</v>
      </c>
      <c r="H4" s="2">
        <v>0</v>
      </c>
      <c r="I4" s="2">
        <v>0</v>
      </c>
      <c r="J4" s="2" t="s">
        <v>14</v>
      </c>
      <c r="K4" s="8">
        <f t="shared" si="0"/>
        <v>10</v>
      </c>
    </row>
    <row r="5" spans="1:11" x14ac:dyDescent="0.2">
      <c r="A5" s="1">
        <v>4</v>
      </c>
      <c r="B5" s="2" t="s">
        <v>23</v>
      </c>
      <c r="C5" s="2" t="s">
        <v>20</v>
      </c>
      <c r="D5" s="2" t="s">
        <v>24</v>
      </c>
      <c r="E5" s="4">
        <v>45797</v>
      </c>
      <c r="F5" s="4">
        <v>45813</v>
      </c>
      <c r="G5" s="2" t="s">
        <v>25</v>
      </c>
      <c r="H5" s="2">
        <v>0</v>
      </c>
      <c r="I5" s="2">
        <v>0</v>
      </c>
      <c r="J5" s="2" t="s">
        <v>14</v>
      </c>
      <c r="K5" s="8">
        <f t="shared" si="0"/>
        <v>16</v>
      </c>
    </row>
    <row r="6" spans="1:11" x14ac:dyDescent="0.2">
      <c r="A6" s="1">
        <v>5</v>
      </c>
      <c r="B6" s="2" t="s">
        <v>26</v>
      </c>
      <c r="C6" s="2" t="s">
        <v>27</v>
      </c>
      <c r="D6" s="2" t="s">
        <v>28</v>
      </c>
      <c r="E6" s="4">
        <v>45809</v>
      </c>
      <c r="F6" s="4">
        <v>45828</v>
      </c>
      <c r="G6" s="2" t="s">
        <v>29</v>
      </c>
      <c r="H6" s="2">
        <v>0</v>
      </c>
      <c r="I6" s="2">
        <v>0</v>
      </c>
      <c r="J6" s="2" t="s">
        <v>14</v>
      </c>
      <c r="K6" s="8">
        <f t="shared" si="0"/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767-D1EA-E445-8E49-54D157E82668}">
  <dimension ref="A1:G16"/>
  <sheetViews>
    <sheetView workbookViewId="0">
      <selection activeCell="B21" sqref="B21"/>
    </sheetView>
  </sheetViews>
  <sheetFormatPr baseColWidth="10" defaultRowHeight="16" x14ac:dyDescent="0.2"/>
  <cols>
    <col min="2" max="2" width="19.83203125" bestFit="1" customWidth="1"/>
    <col min="4" max="4" width="39.83203125" bestFit="1" customWidth="1"/>
    <col min="5" max="5" width="10.83203125" customWidth="1"/>
    <col min="6" max="6" width="12.83203125" customWidth="1"/>
    <col min="7" max="7" width="25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6</v>
      </c>
      <c r="G1" s="1" t="s">
        <v>36</v>
      </c>
    </row>
    <row r="2" spans="1:7" x14ac:dyDescent="0.2">
      <c r="A2" s="1">
        <v>1</v>
      </c>
      <c r="B2" s="2" t="s">
        <v>10</v>
      </c>
      <c r="C2" s="2" t="s">
        <v>11</v>
      </c>
      <c r="D2" s="2" t="s">
        <v>12</v>
      </c>
      <c r="E2" s="4">
        <v>45778</v>
      </c>
      <c r="F2" s="2" t="s">
        <v>13</v>
      </c>
      <c r="G2" s="9">
        <v>0.1</v>
      </c>
    </row>
    <row r="3" spans="1:7" x14ac:dyDescent="0.2">
      <c r="A3" s="1">
        <v>1</v>
      </c>
      <c r="B3" s="2" t="s">
        <v>10</v>
      </c>
      <c r="C3" s="2" t="s">
        <v>11</v>
      </c>
      <c r="D3" s="2" t="s">
        <v>12</v>
      </c>
      <c r="E3" s="4">
        <v>45779</v>
      </c>
      <c r="F3" s="2" t="s">
        <v>13</v>
      </c>
      <c r="G3" s="10">
        <v>0.1</v>
      </c>
    </row>
    <row r="4" spans="1:7" x14ac:dyDescent="0.2">
      <c r="A4" s="1">
        <v>1</v>
      </c>
      <c r="B4" s="2" t="s">
        <v>10</v>
      </c>
      <c r="C4" s="2" t="s">
        <v>11</v>
      </c>
      <c r="D4" s="2" t="s">
        <v>12</v>
      </c>
      <c r="E4" s="4">
        <v>45780</v>
      </c>
      <c r="F4" s="2" t="s">
        <v>13</v>
      </c>
      <c r="G4" s="9">
        <v>0.1</v>
      </c>
    </row>
    <row r="5" spans="1:7" x14ac:dyDescent="0.2">
      <c r="A5" s="1">
        <v>1</v>
      </c>
      <c r="B5" s="2" t="s">
        <v>10</v>
      </c>
      <c r="C5" s="2" t="s">
        <v>11</v>
      </c>
      <c r="D5" s="2" t="s">
        <v>12</v>
      </c>
      <c r="E5" s="4">
        <v>45781</v>
      </c>
      <c r="F5" s="2" t="s">
        <v>13</v>
      </c>
      <c r="G5" s="9">
        <v>0.1</v>
      </c>
    </row>
    <row r="6" spans="1:7" x14ac:dyDescent="0.2">
      <c r="A6" s="1">
        <v>1</v>
      </c>
      <c r="B6" s="2" t="s">
        <v>10</v>
      </c>
      <c r="C6" s="2" t="s">
        <v>11</v>
      </c>
      <c r="D6" s="2" t="s">
        <v>12</v>
      </c>
      <c r="E6" s="4">
        <v>45782</v>
      </c>
      <c r="F6" s="2" t="s">
        <v>13</v>
      </c>
      <c r="G6" s="9">
        <v>0.1</v>
      </c>
    </row>
    <row r="7" spans="1:7" x14ac:dyDescent="0.2">
      <c r="A7" s="1">
        <v>1</v>
      </c>
      <c r="B7" s="2" t="s">
        <v>10</v>
      </c>
      <c r="C7" s="2" t="s">
        <v>11</v>
      </c>
      <c r="D7" s="2" t="s">
        <v>12</v>
      </c>
      <c r="E7" s="4">
        <v>45783</v>
      </c>
      <c r="F7" s="2" t="s">
        <v>13</v>
      </c>
      <c r="G7" s="9">
        <v>0.1</v>
      </c>
    </row>
    <row r="8" spans="1:7" x14ac:dyDescent="0.2">
      <c r="A8" s="1">
        <v>1</v>
      </c>
      <c r="B8" s="2" t="s">
        <v>10</v>
      </c>
      <c r="C8" s="2" t="s">
        <v>11</v>
      </c>
      <c r="D8" s="2" t="s">
        <v>12</v>
      </c>
      <c r="E8" s="4">
        <v>45784</v>
      </c>
      <c r="F8" s="2" t="s">
        <v>13</v>
      </c>
      <c r="G8" s="9">
        <v>0.1</v>
      </c>
    </row>
    <row r="9" spans="1:7" x14ac:dyDescent="0.2">
      <c r="A9" s="1">
        <v>1</v>
      </c>
      <c r="B9" s="2" t="s">
        <v>10</v>
      </c>
      <c r="C9" s="2" t="s">
        <v>11</v>
      </c>
      <c r="D9" s="2" t="s">
        <v>12</v>
      </c>
      <c r="E9" s="4">
        <v>45785</v>
      </c>
      <c r="F9" s="2" t="s">
        <v>13</v>
      </c>
      <c r="G9" s="9">
        <v>0.1</v>
      </c>
    </row>
    <row r="10" spans="1:7" x14ac:dyDescent="0.2">
      <c r="A10" s="1">
        <v>1</v>
      </c>
      <c r="B10" s="2" t="s">
        <v>10</v>
      </c>
      <c r="C10" s="2" t="s">
        <v>11</v>
      </c>
      <c r="D10" s="2" t="s">
        <v>12</v>
      </c>
      <c r="E10" s="4">
        <v>45786</v>
      </c>
      <c r="F10" s="2" t="s">
        <v>13</v>
      </c>
      <c r="G10" s="9">
        <v>0.1</v>
      </c>
    </row>
    <row r="11" spans="1:7" x14ac:dyDescent="0.2">
      <c r="A11" s="1">
        <v>1</v>
      </c>
      <c r="B11" s="2" t="s">
        <v>10</v>
      </c>
      <c r="C11" s="2" t="s">
        <v>11</v>
      </c>
      <c r="D11" s="2" t="s">
        <v>12</v>
      </c>
      <c r="E11" s="4">
        <v>45787</v>
      </c>
      <c r="F11" s="2" t="s">
        <v>13</v>
      </c>
      <c r="G11" s="9">
        <v>0.1</v>
      </c>
    </row>
    <row r="12" spans="1:7" x14ac:dyDescent="0.2">
      <c r="A12" s="1"/>
      <c r="B12" s="2" t="s">
        <v>38</v>
      </c>
      <c r="C12" s="2"/>
      <c r="D12" s="2"/>
      <c r="E12" s="4"/>
      <c r="F12" s="2"/>
      <c r="G12" s="9"/>
    </row>
    <row r="13" spans="1:7" x14ac:dyDescent="0.2">
      <c r="A13" s="1">
        <v>2</v>
      </c>
      <c r="B13" s="2" t="s">
        <v>15</v>
      </c>
      <c r="C13" s="2" t="s">
        <v>16</v>
      </c>
      <c r="D13" s="2" t="s">
        <v>17</v>
      </c>
      <c r="E13" s="4">
        <v>45787</v>
      </c>
      <c r="F13" s="2" t="s">
        <v>18</v>
      </c>
      <c r="G13" s="9">
        <v>0</v>
      </c>
    </row>
    <row r="14" spans="1:7" x14ac:dyDescent="0.2">
      <c r="A14" s="1">
        <v>3</v>
      </c>
      <c r="B14" s="2" t="s">
        <v>19</v>
      </c>
      <c r="C14" s="2" t="s">
        <v>20</v>
      </c>
      <c r="D14" s="2" t="s">
        <v>21</v>
      </c>
      <c r="E14" s="4">
        <v>45792</v>
      </c>
      <c r="F14" s="2" t="s">
        <v>22</v>
      </c>
      <c r="G14" s="9">
        <v>0</v>
      </c>
    </row>
    <row r="15" spans="1:7" x14ac:dyDescent="0.2">
      <c r="A15" s="1">
        <v>4</v>
      </c>
      <c r="B15" s="2" t="s">
        <v>23</v>
      </c>
      <c r="C15" s="2" t="s">
        <v>20</v>
      </c>
      <c r="D15" s="2" t="s">
        <v>24</v>
      </c>
      <c r="E15" s="4">
        <v>45797</v>
      </c>
      <c r="F15" s="2" t="s">
        <v>25</v>
      </c>
      <c r="G15" s="9">
        <v>0</v>
      </c>
    </row>
    <row r="16" spans="1:7" x14ac:dyDescent="0.2">
      <c r="A16" s="1">
        <v>5</v>
      </c>
      <c r="B16" s="2" t="s">
        <v>26</v>
      </c>
      <c r="C16" s="2" t="s">
        <v>27</v>
      </c>
      <c r="D16" s="2" t="s">
        <v>28</v>
      </c>
      <c r="E16" s="4">
        <v>45809</v>
      </c>
      <c r="F16" s="2" t="s">
        <v>29</v>
      </c>
      <c r="G16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5855-78DA-9F4D-B37F-B2FA93A46571}">
  <dimension ref="A1:F3"/>
  <sheetViews>
    <sheetView tabSelected="1" workbookViewId="0">
      <selection activeCell="C2" sqref="C2"/>
    </sheetView>
  </sheetViews>
  <sheetFormatPr baseColWidth="10" defaultRowHeight="16" x14ac:dyDescent="0.2"/>
  <cols>
    <col min="1" max="1" width="9.83203125" bestFit="1" customWidth="1"/>
    <col min="2" max="2" width="8.5" bestFit="1" customWidth="1"/>
    <col min="3" max="3" width="9.33203125" style="8" bestFit="1" customWidth="1"/>
    <col min="4" max="4" width="23.1640625" bestFit="1" customWidth="1"/>
    <col min="5" max="5" width="21.83203125" bestFit="1" customWidth="1"/>
    <col min="6" max="6" width="29.6640625" bestFit="1" customWidth="1"/>
  </cols>
  <sheetData>
    <row r="1" spans="1:6" x14ac:dyDescent="0.2">
      <c r="A1" s="6" t="s">
        <v>39</v>
      </c>
      <c r="B1" s="6" t="s">
        <v>37</v>
      </c>
      <c r="C1" s="12" t="s">
        <v>0</v>
      </c>
      <c r="D1" s="6" t="s">
        <v>40</v>
      </c>
      <c r="E1" s="6" t="s">
        <v>41</v>
      </c>
      <c r="F1" s="6" t="s">
        <v>42</v>
      </c>
    </row>
    <row r="2" spans="1:6" x14ac:dyDescent="0.2">
      <c r="A2">
        <v>1</v>
      </c>
      <c r="B2" s="3">
        <v>45778</v>
      </c>
      <c r="C2" s="8">
        <v>1</v>
      </c>
      <c r="D2" s="11">
        <v>0.08</v>
      </c>
      <c r="E2" t="s">
        <v>13</v>
      </c>
      <c r="F2" t="s">
        <v>43</v>
      </c>
    </row>
    <row r="3" spans="1:6" x14ac:dyDescent="0.2">
      <c r="A3">
        <v>2</v>
      </c>
      <c r="B3" s="3">
        <v>45779</v>
      </c>
      <c r="C3" s="8">
        <v>1</v>
      </c>
      <c r="D3" s="11">
        <v>0.12</v>
      </c>
      <c r="E3" t="s">
        <v>13</v>
      </c>
      <c r="F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Avance</vt:lpstr>
      <vt:lpstr>PLAN_DE_OBRA</vt:lpstr>
      <vt:lpstr>AVANCE_PLANIFICADO</vt:lpstr>
      <vt:lpstr>AVANCE_EJECUTADO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Alcaino M</dc:creator>
  <cp:lastModifiedBy>Luis Alcaino M</cp:lastModifiedBy>
  <dcterms:created xsi:type="dcterms:W3CDTF">2025-04-27T18:47:13Z</dcterms:created>
  <dcterms:modified xsi:type="dcterms:W3CDTF">2025-04-27T20:33:17Z</dcterms:modified>
</cp:coreProperties>
</file>